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florin\Templates\"/>
    </mc:Choice>
  </mc:AlternateContent>
  <xr:revisionPtr revIDLastSave="0" documentId="13_ncr:1_{BBD3CFFB-7326-4754-8714-D42D8614E90A}" xr6:coauthVersionLast="47" xr6:coauthVersionMax="47" xr10:uidLastSave="{00000000-0000-0000-0000-000000000000}"/>
  <bookViews>
    <workbookView xWindow="-120" yWindow="-120" windowWidth="37920" windowHeight="21840" activeTab="10" xr2:uid="{023F32C0-CB12-4BF8-9D27-450DC3C88B89}"/>
  </bookViews>
  <sheets>
    <sheet name="Ingredients" sheetId="6" r:id="rId1"/>
    <sheet name="Equipment" sheetId="9" r:id="rId2"/>
    <sheet name="Processes" sheetId="8" r:id="rId3"/>
    <sheet name="Layers" sheetId="5" r:id="rId4"/>
    <sheet name="Toppings" sheetId="4" r:id="rId5"/>
    <sheet name="Tiers" sheetId="10" r:id="rId6"/>
    <sheet name="Assets" sheetId="3" r:id="rId7"/>
    <sheet name="Books" sheetId="13" r:id="rId8"/>
    <sheet name="Setup" sheetId="1" r:id="rId9"/>
    <sheet name="Cover" sheetId="12" r:id="rId10"/>
    <sheet name="Tier" sheetId="11" r:id="rId11"/>
  </sheets>
  <functionGroups builtInGroupCount="19"/>
  <definedNames>
    <definedName name="CFileName">Setup!$D$11</definedName>
    <definedName name="CID">Setup!$D$2</definedName>
    <definedName name="CTier">Setup!$D$9</definedName>
    <definedName name="CTierNum">Setup!$D$3</definedName>
    <definedName name="LookupAssets">Assets!$A:$A,Assets!$1:$1</definedName>
    <definedName name="LookupEquipment">Equipment!$A:$A,Equipment!$1:$1</definedName>
    <definedName name="LookupIngredients">Ingredients!$A:$A,Ingredients!$1:$1</definedName>
    <definedName name="LookupLayers">Layers!$A:$A,Layers!$1:$1</definedName>
    <definedName name="LookupProcesses">Processes!$A:$A,Processes!$1:$1</definedName>
    <definedName name="LookupTiers">Tiers!$A:$A,Tiers!$1:$1</definedName>
    <definedName name="LookupToppings">Toppings!$A:$A,Toppings!$1:$1</definedName>
    <definedName name="_xlnm.Print_Area" localSheetId="9">Cover!$B$2:$H$54</definedName>
    <definedName name="_xlnm.Print_Area" localSheetId="10">Tier!$B$2:$H$55</definedName>
    <definedName name="Setup_AssetAuthor">Setup!$D$7</definedName>
    <definedName name="Setup_AssetName">Setup!$D$6</definedName>
    <definedName name="Setup_AssetSeries">Setup!$D$8</definedName>
    <definedName name="Setup_TierName">Setup!$D$10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11" l="1"/>
  <c r="G3" i="11"/>
  <c r="C12" i="12"/>
  <c r="D11" i="1"/>
  <c r="E2" i="3"/>
  <c r="D10" i="11" a="1"/>
  <c r="D9" i="11" a="1"/>
  <c r="D8" i="11" a="1"/>
  <c r="D8" i="1" a="1"/>
  <c r="D7" i="1" a="1"/>
  <c r="F15" i="12" a="1"/>
  <c r="E15" i="12" a="1"/>
  <c r="G15" i="12" a="1"/>
  <c r="D15" i="12" a="1"/>
  <c r="D6" i="1" a="1"/>
  <c r="D9" i="1" a="1"/>
  <c r="D10" i="11" l="1"/>
  <c r="D9" i="11"/>
  <c r="D8" i="11"/>
  <c r="D8" i="1"/>
  <c r="D7" i="1"/>
  <c r="G15" i="12"/>
  <c r="E15" i="12"/>
  <c r="F15" i="12"/>
  <c r="D15" i="12"/>
  <c r="D6" i="1"/>
  <c r="C7" i="12" s="1"/>
  <c r="D9" i="1"/>
  <c r="G16" i="12" a="1"/>
  <c r="E16" i="12" a="1"/>
  <c r="F16" i="12" a="1"/>
  <c r="D16" i="12" a="1"/>
  <c r="D10" i="1" a="1"/>
  <c r="G2" i="11" l="1"/>
  <c r="F10" i="12"/>
  <c r="D16" i="12"/>
  <c r="F16" i="12"/>
  <c r="E16" i="12"/>
  <c r="G16" i="12"/>
  <c r="D10" i="1"/>
  <c r="B4" i="11" s="1" a="1"/>
  <c r="B4" i="11" s="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<sst xmlns="http://schemas.openxmlformats.org/spreadsheetml/2006/main" count="103" uniqueCount="73">
  <si>
    <t>Asset ID</t>
  </si>
  <si>
    <t>Primary Inputs</t>
  </si>
  <si>
    <t>Unit System</t>
  </si>
  <si>
    <t>Imperial</t>
  </si>
  <si>
    <t>Current Outputs</t>
  </si>
  <si>
    <t>Asset Name</t>
  </si>
  <si>
    <t>File Name</t>
  </si>
  <si>
    <t>ID</t>
  </si>
  <si>
    <t>Name</t>
  </si>
  <si>
    <t>Shape</t>
  </si>
  <si>
    <t>Square</t>
  </si>
  <si>
    <t>Circular</t>
  </si>
  <si>
    <t>Length</t>
  </si>
  <si>
    <t>Cream Cheese Frosting</t>
  </si>
  <si>
    <t>Mud Base</t>
  </si>
  <si>
    <t>Sponge Base</t>
  </si>
  <si>
    <t>Fondant</t>
  </si>
  <si>
    <t>Tier #</t>
  </si>
  <si>
    <t>White Flour</t>
  </si>
  <si>
    <t>Caster Sugar</t>
  </si>
  <si>
    <t>Icing Sugar</t>
  </si>
  <si>
    <t>Brown Sugar</t>
  </si>
  <si>
    <t>Units</t>
  </si>
  <si>
    <t>grams</t>
  </si>
  <si>
    <t>each</t>
  </si>
  <si>
    <t>Eggs</t>
  </si>
  <si>
    <t>Self-Raising Flour</t>
  </si>
  <si>
    <t>Milk</t>
  </si>
  <si>
    <t>milliliters</t>
  </si>
  <si>
    <t>Density u/cm^3</t>
  </si>
  <si>
    <t>Combine</t>
  </si>
  <si>
    <t>Mix</t>
  </si>
  <si>
    <t>Mixer</t>
  </si>
  <si>
    <t>Whisk</t>
  </si>
  <si>
    <t>Wooden Spoon</t>
  </si>
  <si>
    <t>Tier 1</t>
  </si>
  <si>
    <t>Tier 2</t>
  </si>
  <si>
    <t>Tier 3</t>
  </si>
  <si>
    <t>Tier 4</t>
  </si>
  <si>
    <t>Fondant Edging</t>
  </si>
  <si>
    <t>I-WF</t>
  </si>
  <si>
    <t>I-SRF</t>
  </si>
  <si>
    <t>I-CS</t>
  </si>
  <si>
    <t>I-IS</t>
  </si>
  <si>
    <t>I-BS</t>
  </si>
  <si>
    <t>I-E</t>
  </si>
  <si>
    <t>I-M</t>
  </si>
  <si>
    <t>E-M</t>
  </si>
  <si>
    <t>E-W</t>
  </si>
  <si>
    <t>E-WS</t>
  </si>
  <si>
    <t>P-C</t>
  </si>
  <si>
    <t>P-M</t>
  </si>
  <si>
    <t>L-SB</t>
  </si>
  <si>
    <t>L-MB</t>
  </si>
  <si>
    <t>L-F</t>
  </si>
  <si>
    <t>L-CSF</t>
  </si>
  <si>
    <t>Choc Cream Sponge</t>
  </si>
  <si>
    <t>T-CCS</t>
  </si>
  <si>
    <t>Tier Name</t>
  </si>
  <si>
    <t>Tier ID</t>
  </si>
  <si>
    <t>Single-Tiered Choc Sponge</t>
  </si>
  <si>
    <t>"Baking with Florin" Cake Report for:</t>
  </si>
  <si>
    <t>Tier Information</t>
  </si>
  <si>
    <t>Author</t>
  </si>
  <si>
    <t>Silky Bloggs</t>
  </si>
  <si>
    <t xml:space="preserve">by </t>
  </si>
  <si>
    <t>Asset Author</t>
  </si>
  <si>
    <t>Cake</t>
  </si>
  <si>
    <t>Recipe Author</t>
  </si>
  <si>
    <t>Series</t>
  </si>
  <si>
    <t>Asset Series</t>
  </si>
  <si>
    <t>Silky's Homely Bakes</t>
  </si>
  <si>
    <t>SHB1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</si>
</sst>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0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33" borderId="0" applyNumberFormat="0" applyBorder="0">
      <alignment horizontal="center"/>
      <protection locked="0"/>
    </xf>
    <xf numFmtId="0" fontId="1" fillId="34" borderId="0">
      <alignment horizontal="center" vertical="center" wrapText="1"/>
    </xf>
    <xf numFmtId="0" fontId="19" fillId="35" borderId="0" applyBorder="0">
      <alignment horizontal="center"/>
      <protection locked="0"/>
    </xf>
  </cellStyleXfs>
  <cellXfs count="55">
    <xf numFmtId="0" fontId="0" fillId="0" borderId="0" xfId="0"/>
    <xf numFmtId="0" fontId="18" fillId="33" borderId="0" xfId="47">
      <alignment horizontal="center"/>
      <protection locked="0"/>
    </xf>
    <xf numFmtId="0" fontId="19" fillId="35" borderId="0" xfId="49">
      <alignment horizontal="center"/>
      <protection locked="0"/>
    </xf>
    <xf numFmtId="0" fontId="0" fillId="34" borderId="0" xfId="48" applyFont="1">
      <alignment horizontal="center" vertical="center" wrapText="1"/>
    </xf>
    <xf numFmtId="0" fontId="1" fillId="34" borderId="0" xfId="48">
      <alignment horizontal="center" vertical="center" wrapText="1"/>
    </xf>
    <xf numFmtId="0" fontId="0" fillId="34" borderId="0" xfId="48" applyFont="1" applyAlignment="1">
      <alignment horizontal="center" vertical="center" wrapText="1"/>
    </xf>
    <xf numFmtId="0" fontId="1" fillId="34" borderId="0" xfId="48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6" fillId="0" borderId="10" xfId="0" applyFon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1" xfId="0" applyBorder="1" applyAlignment="1"/>
    <xf numFmtId="0" fontId="20" fillId="0" borderId="0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0" fillId="0" borderId="0" xfId="0" applyFill="1" applyBorder="1"/>
    <xf numFmtId="0" fontId="16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Border="1"/>
    <xf numFmtId="0" fontId="0" fillId="0" borderId="21" xfId="0" applyBorder="1" applyAlignment="1">
      <alignment vertical="top" wrapText="1"/>
    </xf>
    <xf numFmtId="0" fontId="0" fillId="0" borderId="0" xfId="0" applyBorder="1" applyAlignment="1">
      <alignment horizontal="right"/>
    </xf>
    <xf numFmtId="0" fontId="0" fillId="0" borderId="26" xfId="0" applyBorder="1" applyAlignment="1">
      <alignment horizontal="left"/>
    </xf>
    <xf numFmtId="0" fontId="16" fillId="36" borderId="10" xfId="0" applyFont="1" applyFill="1" applyBorder="1" applyAlignment="1">
      <alignment horizontal="center"/>
    </xf>
    <xf numFmtId="0" fontId="16" fillId="36" borderId="11" xfId="0" applyFont="1" applyFill="1" applyBorder="1" applyAlignment="1">
      <alignment horizontal="center"/>
    </xf>
    <xf numFmtId="0" fontId="0" fillId="0" borderId="11" xfId="0" applyBorder="1" applyAlignment="1">
      <alignment horizontal="left" indent="1"/>
    </xf>
    <xf numFmtId="0" fontId="0" fillId="0" borderId="12" xfId="0" applyBorder="1" applyAlignment="1">
      <alignment horizontal="left" indent="1"/>
    </xf>
    <xf numFmtId="0" fontId="16" fillId="0" borderId="0" xfId="0" applyFont="1" applyBorder="1" applyAlignment="1">
      <alignment horizontal="center"/>
    </xf>
    <xf numFmtId="0" fontId="0" fillId="0" borderId="33" xfId="0" applyBorder="1"/>
    <xf numFmtId="0" fontId="0" fillId="0" borderId="34" xfId="0" applyBorder="1"/>
    <xf numFmtId="0" fontId="16" fillId="36" borderId="34" xfId="0" applyFont="1" applyFill="1" applyBorder="1" applyAlignment="1">
      <alignment horizontal="center"/>
    </xf>
    <xf numFmtId="0" fontId="0" fillId="0" borderId="34" xfId="0" applyBorder="1" applyAlignment="1">
      <alignment horizontal="left" indent="1"/>
    </xf>
    <xf numFmtId="0" fontId="0" fillId="0" borderId="35" xfId="0" applyBorder="1" applyAlignment="1">
      <alignment horizontal="left" indent="1"/>
    </xf>
    <xf numFmtId="0" fontId="19" fillId="35" borderId="0" xfId="49" applyBorder="1">
      <alignment horizontal="center"/>
      <protection locked="0"/>
    </xf>
    <xf numFmtId="0" fontId="19" fillId="35" borderId="21" xfId="49" applyBorder="1">
      <alignment horizontal="center"/>
      <protection locked="0"/>
    </xf>
    <xf numFmtId="0" fontId="19" fillId="35" borderId="21" xfId="49" applyBorder="1" applyAlignment="1">
      <alignment horizontal="center" wrapText="1"/>
      <protection locked="0"/>
    </xf>
    <xf numFmtId="0" fontId="0" fillId="34" borderId="13" xfId="48" applyFont="1" applyBorder="1" applyAlignment="1">
      <alignment horizontal="center" vertical="center" wrapText="1"/>
    </xf>
    <xf numFmtId="0" fontId="1" fillId="34" borderId="13" xfId="48" applyBorder="1" applyAlignment="1">
      <alignment horizontal="center" vertical="center" wrapText="1"/>
    </xf>
  </cellXfs>
  <cellStyles count="50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ategory" xfId="48" xr:uid="{C435C2A7-AC5A-43DB-BB96-D3946B5C4997}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Input" xfId="47" xr:uid="{05CC0469-2FA5-47EC-93CD-349082629DE1}"/>
    <cellStyle name="Linked Cell" xfId="17" builtinId="24" hidden="1"/>
    <cellStyle name="Neutral" xfId="13" builtinId="28" hidden="1"/>
    <cellStyle name="Normal" xfId="0" builtinId="0"/>
    <cellStyle name="Note" xfId="20" builtinId="10" hidden="1"/>
    <cellStyle name="Output" xfId="15" builtinId="21" hidden="1"/>
    <cellStyle name="Output" xfId="49" xr:uid="{61C86941-A87E-4853-9D7B-AFB6B8FA30C8}"/>
    <cellStyle name="Percent" xfId="5" builtinId="5" hidden="1"/>
    <cellStyle name="Title" xfId="6" builtinId="15" hidden="1"/>
    <cellStyle name="Total" xfId="22" builtinId="25" hidden="1"/>
    <cellStyle name="Warning Text" xfId="19" builtinId="11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109B0-3E4A-4B95-A18F-ABF49DD71C60}">
  <sheetPr codeName="Sheet2"/>
  <dimension ref="A1:D8"/>
  <sheetViews>
    <sheetView workbookViewId="0">
      <selection activeCellId="1" sqref="A1:A1048576 A1:XFD1"/>
    </sheetView>
  </sheetViews>
  <sheetFormatPr defaultRowHeight="15" x14ac:dyDescent="0.25"/>
  <cols>
    <col min="2" max="2" width="19.28515625" customWidth="1"/>
    <col min="3" max="3" width="12" customWidth="1"/>
    <col min="4" max="4" width="14.85546875" bestFit="1" customWidth="1"/>
  </cols>
  <sheetData>
    <row r="1" spans="1:4" x14ac:dyDescent="0.25">
      <c r="A1" t="s">
        <v>7</v>
      </c>
      <c r="B1" t="s">
        <v>8</v>
      </c>
      <c r="C1" t="s">
        <v>22</v>
      </c>
      <c r="D1" t="s">
        <v>29</v>
      </c>
    </row>
    <row r="2" spans="1:4" x14ac:dyDescent="0.25">
      <c r="A2" t="s">
        <v>40</v>
      </c>
      <c r="B2" t="s">
        <v>18</v>
      </c>
      <c r="C2" t="s">
        <v>23</v>
      </c>
    </row>
    <row r="3" spans="1:4" x14ac:dyDescent="0.25">
      <c r="A3" t="s">
        <v>41</v>
      </c>
      <c r="B3" t="s">
        <v>26</v>
      </c>
      <c r="C3" t="s">
        <v>23</v>
      </c>
    </row>
    <row r="4" spans="1:4" x14ac:dyDescent="0.25">
      <c r="A4" t="s">
        <v>42</v>
      </c>
      <c r="B4" t="s">
        <v>19</v>
      </c>
      <c r="C4" t="s">
        <v>23</v>
      </c>
    </row>
    <row r="5" spans="1:4" x14ac:dyDescent="0.25">
      <c r="A5" t="s">
        <v>43</v>
      </c>
      <c r="B5" t="s">
        <v>20</v>
      </c>
      <c r="C5" t="s">
        <v>23</v>
      </c>
    </row>
    <row r="6" spans="1:4" x14ac:dyDescent="0.25">
      <c r="A6" t="s">
        <v>44</v>
      </c>
      <c r="B6" t="s">
        <v>21</v>
      </c>
      <c r="C6" t="s">
        <v>23</v>
      </c>
    </row>
    <row r="7" spans="1:4" x14ac:dyDescent="0.25">
      <c r="A7" t="s">
        <v>45</v>
      </c>
      <c r="B7" t="s">
        <v>25</v>
      </c>
      <c r="C7" t="s">
        <v>24</v>
      </c>
    </row>
    <row r="8" spans="1:4" x14ac:dyDescent="0.25">
      <c r="A8" t="s">
        <v>46</v>
      </c>
      <c r="B8" t="s">
        <v>27</v>
      </c>
      <c r="C8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0000-0605-4BE9-BAB7-7124DCCB960E}">
  <sheetPr codeName="Sheet3"/>
  <dimension ref="A1:B4"/>
  <sheetViews>
    <sheetView workbookViewId="0">
      <selection activeCellId="1" sqref="A1:A1048576 A1:XFD1"/>
    </sheetView>
  </sheetViews>
  <sheetFormatPr defaultRowHeight="15" x14ac:dyDescent="0.25"/>
  <cols>
    <col min="2" max="2" width="14.7109375" bestFit="1" customWidth="1"/>
    <col min="3" max="3" width="10.85546875" bestFit="1" customWidth="1"/>
  </cols>
  <sheetData>
    <row r="1" spans="1:2" x14ac:dyDescent="0.25">
      <c r="A1" t="s">
        <v>7</v>
      </c>
      <c r="B1" t="s">
        <v>8</v>
      </c>
    </row>
    <row r="2" spans="1:2" x14ac:dyDescent="0.25">
      <c r="A2" t="s">
        <v>47</v>
      </c>
      <c r="B2" t="s">
        <v>32</v>
      </c>
    </row>
    <row r="3" spans="1:2" x14ac:dyDescent="0.25">
      <c r="A3" t="s">
        <v>48</v>
      </c>
      <c r="B3" t="s">
        <v>33</v>
      </c>
    </row>
    <row r="4" spans="1:2" x14ac:dyDescent="0.25">
      <c r="A4" t="s">
        <v>49</v>
      </c>
      <c r="B4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4804B-4F04-41D6-8D53-EADC33503A68}">
  <sheetPr codeName="Sheet4"/>
  <dimension ref="A1:B3"/>
  <sheetViews>
    <sheetView workbookViewId="0">
      <selection activeCell="D59" sqref="D59"/>
    </sheetView>
  </sheetViews>
  <sheetFormatPr defaultRowHeight="15" x14ac:dyDescent="0.25"/>
  <sheetData>
    <row r="1" spans="1:2" x14ac:dyDescent="0.25">
      <c r="A1" t="s">
        <v>7</v>
      </c>
      <c r="B1" t="s">
        <v>8</v>
      </c>
    </row>
    <row r="2" spans="1:2" x14ac:dyDescent="0.25">
      <c r="A2" t="s">
        <v>50</v>
      </c>
      <c r="B2" t="s">
        <v>30</v>
      </c>
    </row>
    <row r="3" spans="1:2" x14ac:dyDescent="0.25">
      <c r="A3" t="s">
        <v>51</v>
      </c>
      <c r="B3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FB71B-FE7C-4D9F-92A8-6E17B6C9517F}">
  <sheetPr codeName="Sheet5"/>
  <dimension ref="A1:B5"/>
  <sheetViews>
    <sheetView workbookViewId="0">
      <selection activeCellId="1" sqref="A1:A1048576 A1:XFD1"/>
    </sheetView>
  </sheetViews>
  <sheetFormatPr defaultRowHeight="15" x14ac:dyDescent="0.25"/>
  <cols>
    <col min="2" max="2" width="21.7109375" bestFit="1" customWidth="1"/>
  </cols>
  <sheetData>
    <row r="1" spans="1:2" x14ac:dyDescent="0.25">
      <c r="A1" t="s">
        <v>7</v>
      </c>
      <c r="B1" t="s">
        <v>8</v>
      </c>
    </row>
    <row r="2" spans="1:2" x14ac:dyDescent="0.25">
      <c r="A2" t="s">
        <v>52</v>
      </c>
      <c r="B2" t="s">
        <v>15</v>
      </c>
    </row>
    <row r="3" spans="1:2" x14ac:dyDescent="0.25">
      <c r="A3" t="s">
        <v>55</v>
      </c>
      <c r="B3" t="s">
        <v>13</v>
      </c>
    </row>
    <row r="4" spans="1:2" x14ac:dyDescent="0.25">
      <c r="A4" t="s">
        <v>53</v>
      </c>
      <c r="B4" t="s">
        <v>14</v>
      </c>
    </row>
    <row r="5" spans="1:2" x14ac:dyDescent="0.25">
      <c r="A5" t="s">
        <v>54</v>
      </c>
      <c r="B5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246C0-1EA2-4AFE-AC9D-DF4DEF4ACE4D}">
  <sheetPr codeName="Sheet6"/>
  <dimension ref="A1:B2"/>
  <sheetViews>
    <sheetView workbookViewId="0">
      <selection activeCellId="1" sqref="A1:A1048576 A1:XFD1"/>
    </sheetView>
  </sheetViews>
  <sheetFormatPr defaultRowHeight="15" x14ac:dyDescent="0.25"/>
  <cols>
    <col min="2" max="2" width="14.7109375" bestFit="1" customWidth="1"/>
  </cols>
  <sheetData>
    <row r="1" spans="1:2" x14ac:dyDescent="0.25">
      <c r="A1" t="s">
        <v>7</v>
      </c>
      <c r="B1" t="s">
        <v>8</v>
      </c>
    </row>
    <row r="2" spans="1:2" x14ac:dyDescent="0.25">
      <c r="B2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6986-BD24-4FF5-AF56-B630F33E7B81}">
  <sheetPr codeName="Sheet7"/>
  <dimension ref="A1:D3"/>
  <sheetViews>
    <sheetView workbookViewId="0">
      <selection activeCell="D3" sqref="D3"/>
    </sheetView>
  </sheetViews>
  <sheetFormatPr defaultRowHeight="15" x14ac:dyDescent="0.25"/>
  <cols>
    <col min="2" max="2" width="22.1406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12</v>
      </c>
    </row>
    <row r="2" spans="1:4" x14ac:dyDescent="0.25">
      <c r="A2" t="s">
        <v>57</v>
      </c>
      <c r="B2" t="s">
        <v>56</v>
      </c>
      <c r="C2" t="s">
        <v>11</v>
      </c>
      <c r="D2">
        <v>42</v>
      </c>
    </row>
    <row r="3" spans="1:4" x14ac:dyDescent="0.25">
      <c r="C3" t="s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C1F3B-602D-4B25-95D3-23B5A7794A9A}">
  <sheetPr codeName="Sheet8"/>
  <dimension ref="A1:G2"/>
  <sheetViews>
    <sheetView workbookViewId="0">
      <selection activeCell="A3" sqref="A3"/>
    </sheetView>
  </sheetViews>
  <sheetFormatPr defaultRowHeight="15" x14ac:dyDescent="0.25"/>
  <cols>
    <col min="1" max="1" width="10.42578125" customWidth="1"/>
    <col min="2" max="4" width="20.28515625" customWidth="1"/>
  </cols>
  <sheetData>
    <row r="1" spans="1:7" x14ac:dyDescent="0.25">
      <c r="A1" t="s">
        <v>7</v>
      </c>
      <c r="B1" t="s">
        <v>8</v>
      </c>
      <c r="C1" t="s">
        <v>63</v>
      </c>
      <c r="D1" t="s">
        <v>69</v>
      </c>
      <c r="E1" t="s">
        <v>35</v>
      </c>
      <c r="F1" t="s">
        <v>36</v>
      </c>
      <c r="G1" t="s">
        <v>37</v>
      </c>
    </row>
    <row r="2" spans="1:7" x14ac:dyDescent="0.25">
      <c r="A2" t="s">
        <v>72</v>
      </c>
      <c r="B2" t="s">
        <v>60</v>
      </c>
      <c r="C2" t="s">
        <v>64</v>
      </c>
      <c r="D2" t="s">
        <v>71</v>
      </c>
      <c r="E2" t="str">
        <f>Tiers!A2</f>
        <v>T-CCS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9B403-59C5-4EEA-877D-21FC6EF84162}">
  <dimension ref="B1:B3"/>
  <sheetViews>
    <sheetView workbookViewId="0">
      <selection activeCell="J15" sqref="J15"/>
    </sheetView>
  </sheetViews>
  <sheetFormatPr defaultRowHeight="15" x14ac:dyDescent="0.25"/>
  <cols>
    <col min="1" max="1" width="1.42578125" customWidth="1"/>
    <col min="2" max="2" width="19.5703125" bestFit="1" customWidth="1"/>
  </cols>
  <sheetData>
    <row r="1" spans="2:2" ht="7.5" customHeight="1" x14ac:dyDescent="0.25"/>
    <row r="2" spans="2:2" x14ac:dyDescent="0.25">
      <c r="B2" t="s">
        <v>71</v>
      </c>
    </row>
    <row r="3" spans="2:2" x14ac:dyDescent="0.25">
      <c r="B3" t="s">
        <v>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362C0-E24F-47DC-8C3C-8C720E11A4B8}">
  <sheetPr codeName="Sheet1"/>
  <dimension ref="B1:D11"/>
  <sheetViews>
    <sheetView workbookViewId="0">
      <selection activeCell="D8" sqref="D8"/>
    </sheetView>
  </sheetViews>
  <sheetFormatPr defaultRowHeight="15" x14ac:dyDescent="0.25"/>
  <cols>
    <col min="1" max="1" width="1.42578125" customWidth="1"/>
    <col min="2" max="2" width="22.42578125" customWidth="1"/>
    <col min="3" max="3" width="13.85546875" customWidth="1"/>
    <col min="4" max="4" width="19.85546875" customWidth="1"/>
  </cols>
  <sheetData>
    <row r="1" spans="2:4" ht="7.5" customHeight="1" x14ac:dyDescent="0.25"/>
    <row r="2" spans="2:4" x14ac:dyDescent="0.25">
      <c r="B2" s="3" t="s">
        <v>1</v>
      </c>
      <c r="C2" t="s">
        <v>0</v>
      </c>
      <c r="D2" s="1" t="s">
        <v>72</v>
      </c>
    </row>
    <row r="3" spans="2:4" x14ac:dyDescent="0.25">
      <c r="B3" s="4"/>
      <c r="C3" t="s">
        <v>17</v>
      </c>
      <c r="D3" s="1">
        <v>1</v>
      </c>
    </row>
    <row r="4" spans="2:4" x14ac:dyDescent="0.25">
      <c r="B4" s="4"/>
      <c r="C4" t="s">
        <v>2</v>
      </c>
      <c r="D4" s="1" t="s">
        <v>3</v>
      </c>
    </row>
    <row r="6" spans="2:4" x14ac:dyDescent="0.25">
      <c r="B6" s="5" t="s">
        <v>4</v>
      </c>
      <c r="C6" t="s">
        <v>5</v>
      </c>
      <c r="D6" s="2" t="str" cm="1">
        <f t="array" ref="D6">rangeLookup("Name", CID, LookupAssets)</f>
        <v>Single-Tiered Choc Sponge</v>
      </c>
    </row>
    <row r="7" spans="2:4" x14ac:dyDescent="0.25">
      <c r="B7" s="5"/>
      <c r="C7" t="s">
        <v>66</v>
      </c>
      <c r="D7" s="2" t="str" cm="1">
        <f t="array" ref="D7">rangeLookup("Author", CID, LookupAssets)</f>
        <v>Silky Bloggs</v>
      </c>
    </row>
    <row r="8" spans="2:4" x14ac:dyDescent="0.25">
      <c r="B8" s="5"/>
      <c r="C8" t="s">
        <v>70</v>
      </c>
      <c r="D8" s="2" t="str" cm="1">
        <f t="array" ref="D8">rangeLookup("Series", CID, LookupAssets)</f>
        <v>Silky's Homely Bakes</v>
      </c>
    </row>
    <row r="9" spans="2:4" x14ac:dyDescent="0.25">
      <c r="B9" s="5"/>
      <c r="C9" t="s">
        <v>59</v>
      </c>
      <c r="D9" s="2" t="str" cm="1">
        <f t="array" ref="D9">rangeLookup("Tier "&amp;CTierNum, CID, LookupAssets)</f>
        <v>T-CCS</v>
      </c>
    </row>
    <row r="10" spans="2:4" x14ac:dyDescent="0.25">
      <c r="B10" s="6"/>
      <c r="C10" t="s">
        <v>58</v>
      </c>
      <c r="D10" s="2" t="str" cm="1">
        <f t="array" ref="D10">rangeLookup("Name", CTier, LookupTiers)</f>
        <v>Choc Cream Sponge</v>
      </c>
    </row>
    <row r="11" spans="2:4" x14ac:dyDescent="0.25">
      <c r="B11" s="6"/>
      <c r="C11" t="s">
        <v>6</v>
      </c>
      <c r="D11" s="2" t="str">
        <f>"FlorinBake_Report_"&amp;CID</f>
        <v>FlorinBake_Report_SHB1</v>
      </c>
    </row>
  </sheetData>
  <mergeCells count="2">
    <mergeCell ref="B2:B4"/>
    <mergeCell ref="B6:B11"/>
  </mergeCells>
  <dataValidations disablePrompts="1" count="1">
    <dataValidation type="list" showInputMessage="1" showErrorMessage="1" sqref="D4" xr:uid="{94E8CE16-E920-457C-B10C-103992D8B4DB}">
      <formula1>"Metric,Imperial"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1C464-2E12-42E9-92AA-0FFA272174B4}">
  <sheetPr codeName="Sheet11">
    <pageSetUpPr fitToPage="1"/>
  </sheetPr>
  <dimension ref="B1:H54"/>
  <sheetViews>
    <sheetView workbookViewId="0">
      <selection activeCell="E26" sqref="E26"/>
    </sheetView>
  </sheetViews>
  <sheetFormatPr defaultRowHeight="15" x14ac:dyDescent="0.25"/>
  <cols>
    <col min="1" max="1" width="1.42578125" customWidth="1"/>
    <col min="2" max="2" width="14.5703125" customWidth="1"/>
    <col min="3" max="3" width="17.7109375" customWidth="1"/>
    <col min="4" max="7" width="11.140625" customWidth="1"/>
    <col min="8" max="8" width="14.5703125" customWidth="1"/>
    <col min="9" max="9" width="1.42578125" customWidth="1"/>
  </cols>
  <sheetData>
    <row r="1" spans="2:8" ht="7.5" customHeight="1" thickBot="1" x14ac:dyDescent="0.3"/>
    <row r="2" spans="2:8" x14ac:dyDescent="0.25">
      <c r="B2" s="15"/>
      <c r="C2" s="19"/>
      <c r="D2" s="19"/>
      <c r="E2" s="19"/>
      <c r="F2" s="7"/>
      <c r="G2" s="7"/>
      <c r="H2" s="8"/>
    </row>
    <row r="3" spans="2:8" x14ac:dyDescent="0.25">
      <c r="B3" s="9"/>
      <c r="C3" s="10"/>
      <c r="D3" s="10"/>
      <c r="E3" s="10"/>
      <c r="F3" s="10"/>
      <c r="G3" s="10"/>
      <c r="H3" s="11"/>
    </row>
    <row r="4" spans="2:8" x14ac:dyDescent="0.25">
      <c r="B4" s="9"/>
      <c r="C4" s="10"/>
      <c r="D4" s="10"/>
      <c r="E4" s="10"/>
      <c r="F4" s="10"/>
      <c r="G4" s="10"/>
      <c r="H4" s="11"/>
    </row>
    <row r="5" spans="2:8" x14ac:dyDescent="0.25">
      <c r="B5" s="9"/>
      <c r="C5" s="10"/>
      <c r="D5" s="10"/>
      <c r="E5" s="10"/>
      <c r="F5" s="10"/>
      <c r="G5" s="10"/>
      <c r="H5" s="11"/>
    </row>
    <row r="6" spans="2:8" x14ac:dyDescent="0.25">
      <c r="B6" s="9"/>
      <c r="C6" s="21" t="s">
        <v>61</v>
      </c>
      <c r="D6" s="22"/>
      <c r="E6" s="22"/>
      <c r="F6" s="22"/>
      <c r="G6" s="23"/>
      <c r="H6" s="11"/>
    </row>
    <row r="7" spans="2:8" x14ac:dyDescent="0.25">
      <c r="B7" s="9"/>
      <c r="C7" s="24" t="str">
        <f>Setup_AssetName</f>
        <v>Single-Tiered Choc Sponge</v>
      </c>
      <c r="D7" s="25"/>
      <c r="E7" s="25"/>
      <c r="F7" s="25"/>
      <c r="G7" s="26"/>
      <c r="H7" s="11"/>
    </row>
    <row r="8" spans="2:8" x14ac:dyDescent="0.25">
      <c r="B8" s="9"/>
      <c r="C8" s="27"/>
      <c r="D8" s="20"/>
      <c r="E8" s="20"/>
      <c r="F8" s="20"/>
      <c r="G8" s="28"/>
      <c r="H8" s="11"/>
    </row>
    <row r="9" spans="2:8" x14ac:dyDescent="0.25">
      <c r="B9" s="9"/>
      <c r="C9" s="29"/>
      <c r="D9" s="30"/>
      <c r="E9" s="30"/>
      <c r="F9" s="30"/>
      <c r="G9" s="31"/>
      <c r="H9" s="11"/>
    </row>
    <row r="10" spans="2:8" x14ac:dyDescent="0.25">
      <c r="B10" s="9"/>
      <c r="C10" s="10"/>
      <c r="D10" s="10"/>
      <c r="E10" s="38" t="s">
        <v>65</v>
      </c>
      <c r="F10" s="39" t="str">
        <f>Setup_AssetAuthor</f>
        <v>Silky Bloggs</v>
      </c>
      <c r="G10" s="39"/>
      <c r="H10" s="11"/>
    </row>
    <row r="11" spans="2:8" x14ac:dyDescent="0.25">
      <c r="B11" s="9"/>
      <c r="C11" s="10"/>
      <c r="D11" s="10"/>
      <c r="E11" s="10"/>
      <c r="F11" s="10"/>
      <c r="G11" s="10"/>
      <c r="H11" s="11"/>
    </row>
    <row r="12" spans="2:8" x14ac:dyDescent="0.25">
      <c r="B12" s="9"/>
      <c r="C12" s="44" t="str">
        <f>"As seen in "&amp;Setup_AssetSeries&amp;"!"</f>
        <v>As seen in Silky's Homely Bakes!</v>
      </c>
      <c r="D12" s="44"/>
      <c r="E12" s="44"/>
      <c r="F12" s="44"/>
      <c r="G12" s="44"/>
      <c r="H12" s="11"/>
    </row>
    <row r="13" spans="2:8" x14ac:dyDescent="0.25">
      <c r="B13" s="9"/>
      <c r="C13" s="10"/>
      <c r="D13" s="10"/>
      <c r="E13" s="10"/>
      <c r="F13" s="10"/>
      <c r="G13" s="10"/>
      <c r="H13" s="11"/>
    </row>
    <row r="14" spans="2:8" x14ac:dyDescent="0.25">
      <c r="B14" s="9"/>
      <c r="C14" s="33" t="s">
        <v>62</v>
      </c>
      <c r="D14" s="34" t="s">
        <v>35</v>
      </c>
      <c r="E14" s="34" t="s">
        <v>36</v>
      </c>
      <c r="F14" s="34" t="s">
        <v>37</v>
      </c>
      <c r="G14" s="35" t="s">
        <v>38</v>
      </c>
      <c r="H14" s="11"/>
    </row>
    <row r="15" spans="2:8" x14ac:dyDescent="0.25">
      <c r="B15" s="9"/>
      <c r="C15" s="36" t="s">
        <v>7</v>
      </c>
      <c r="D15" s="51" t="str" cm="1">
        <f t="array" ref="D15">rangeLookup(D14, CID, LookupAssets)</f>
        <v>T-CCS</v>
      </c>
      <c r="E15" s="51" t="e" cm="1">
        <f t="array" ref="E15">rangeLookup(E14, CID, LookupAssets)</f>
        <v>#N/A</v>
      </c>
      <c r="F15" s="51" t="e" cm="1">
        <f t="array" ref="F15">rangeLookup(F14, CID, LookupAssets)</f>
        <v>#N/A</v>
      </c>
      <c r="G15" s="51" t="e" cm="1">
        <f t="array" ref="G15">rangeLookup(G14, CID, LookupAssets)</f>
        <v>#N/A</v>
      </c>
      <c r="H15" s="11"/>
    </row>
    <row r="16" spans="2:8" ht="30" customHeight="1" x14ac:dyDescent="0.25">
      <c r="B16" s="9"/>
      <c r="C16" s="37" t="s">
        <v>8</v>
      </c>
      <c r="D16" s="52" t="str" cm="1">
        <f t="array" ref="D16">_xlfn.IFNA(rangeLookup($C16, D$15, LookupTiers), "")</f>
        <v>Choc Cream Sponge</v>
      </c>
      <c r="E16" s="51" t="str" cm="1">
        <f t="array" ref="E16">_xlfn.IFNA(rangeLookup($C16, E$15, LookupTiers), "")</f>
        <v/>
      </c>
      <c r="F16" s="51" t="str" cm="1">
        <f t="array" ref="F16">_xlfn.IFNA(rangeLookup($C16, F$15, LookupTiers), "")</f>
        <v/>
      </c>
      <c r="G16" s="51" t="str" cm="1">
        <f t="array" ref="G16">_xlfn.IFNA(rangeLookup($C16, G$15, LookupTiers), "")</f>
        <v/>
      </c>
      <c r="H16" s="11"/>
    </row>
    <row r="17" spans="2:8" x14ac:dyDescent="0.25">
      <c r="B17" s="9"/>
      <c r="C17" s="32"/>
      <c r="D17" s="10"/>
      <c r="E17" s="10"/>
      <c r="F17" s="10"/>
      <c r="G17" s="10"/>
      <c r="H17" s="11"/>
    </row>
    <row r="18" spans="2:8" x14ac:dyDescent="0.25">
      <c r="B18" s="9"/>
      <c r="C18" s="10"/>
      <c r="D18" s="10"/>
      <c r="E18" s="10"/>
      <c r="F18" s="10"/>
      <c r="G18" s="10"/>
      <c r="H18" s="11"/>
    </row>
    <row r="19" spans="2:8" x14ac:dyDescent="0.25">
      <c r="B19" s="9"/>
      <c r="C19" s="10"/>
      <c r="D19" s="10"/>
      <c r="E19" s="10"/>
      <c r="F19" s="10"/>
      <c r="G19" s="10"/>
      <c r="H19" s="11"/>
    </row>
    <row r="20" spans="2:8" x14ac:dyDescent="0.25">
      <c r="B20" s="9"/>
      <c r="C20" s="10"/>
      <c r="D20" s="10"/>
      <c r="E20" s="10"/>
      <c r="F20" s="10"/>
      <c r="G20" s="10"/>
      <c r="H20" s="11"/>
    </row>
    <row r="21" spans="2:8" x14ac:dyDescent="0.25">
      <c r="B21" s="9"/>
      <c r="C21" s="10"/>
      <c r="D21" s="10"/>
      <c r="E21" s="10"/>
      <c r="F21" s="10"/>
      <c r="G21" s="10"/>
      <c r="H21" s="11"/>
    </row>
    <row r="22" spans="2:8" x14ac:dyDescent="0.25">
      <c r="B22" s="9"/>
      <c r="C22" s="10"/>
      <c r="D22" s="10"/>
      <c r="E22" s="10"/>
      <c r="F22" s="10"/>
      <c r="G22" s="10"/>
      <c r="H22" s="11"/>
    </row>
    <row r="23" spans="2:8" x14ac:dyDescent="0.25">
      <c r="B23" s="9"/>
      <c r="C23" s="10"/>
      <c r="D23" s="10"/>
      <c r="E23" s="10"/>
      <c r="F23" s="10"/>
      <c r="G23" s="10"/>
      <c r="H23" s="11"/>
    </row>
    <row r="24" spans="2:8" x14ac:dyDescent="0.25">
      <c r="B24" s="9"/>
      <c r="C24" s="10"/>
      <c r="D24" s="10"/>
      <c r="E24" s="10"/>
      <c r="F24" s="10"/>
      <c r="G24" s="10"/>
      <c r="H24" s="11"/>
    </row>
    <row r="25" spans="2:8" x14ac:dyDescent="0.25">
      <c r="B25" s="9"/>
      <c r="C25" s="10"/>
      <c r="D25" s="10"/>
      <c r="E25" s="10"/>
      <c r="F25" s="10"/>
      <c r="G25" s="10"/>
      <c r="H25" s="11"/>
    </row>
    <row r="26" spans="2:8" x14ac:dyDescent="0.25">
      <c r="B26" s="9"/>
      <c r="C26" s="10"/>
      <c r="D26" s="10"/>
      <c r="E26" s="10"/>
      <c r="F26" s="10"/>
      <c r="G26" s="10"/>
      <c r="H26" s="11"/>
    </row>
    <row r="27" spans="2:8" x14ac:dyDescent="0.25">
      <c r="B27" s="9"/>
      <c r="C27" s="10"/>
      <c r="D27" s="10"/>
      <c r="E27" s="10"/>
      <c r="F27" s="10"/>
      <c r="G27" s="10"/>
      <c r="H27" s="11"/>
    </row>
    <row r="28" spans="2:8" x14ac:dyDescent="0.25">
      <c r="B28" s="9"/>
      <c r="C28" s="10"/>
      <c r="D28" s="10"/>
      <c r="E28" s="10"/>
      <c r="F28" s="10"/>
      <c r="G28" s="10"/>
      <c r="H28" s="11"/>
    </row>
    <row r="29" spans="2:8" x14ac:dyDescent="0.25">
      <c r="B29" s="9"/>
      <c r="C29" s="10"/>
      <c r="D29" s="10"/>
      <c r="E29" s="10"/>
      <c r="F29" s="10"/>
      <c r="G29" s="10"/>
      <c r="H29" s="11"/>
    </row>
    <row r="30" spans="2:8" x14ac:dyDescent="0.25">
      <c r="B30" s="9"/>
      <c r="C30" s="10"/>
      <c r="D30" s="10"/>
      <c r="E30" s="10"/>
      <c r="F30" s="10"/>
      <c r="G30" s="10"/>
      <c r="H30" s="11"/>
    </row>
    <row r="31" spans="2:8" x14ac:dyDescent="0.25">
      <c r="B31" s="9"/>
      <c r="C31" s="10"/>
      <c r="D31" s="10"/>
      <c r="E31" s="10"/>
      <c r="F31" s="10"/>
      <c r="G31" s="10"/>
      <c r="H31" s="11"/>
    </row>
    <row r="32" spans="2:8" x14ac:dyDescent="0.25">
      <c r="B32" s="9"/>
      <c r="C32" s="10"/>
      <c r="D32" s="10"/>
      <c r="E32" s="10"/>
      <c r="F32" s="10"/>
      <c r="G32" s="10"/>
      <c r="H32" s="11"/>
    </row>
    <row r="33" spans="2:8" x14ac:dyDescent="0.25">
      <c r="B33" s="9"/>
      <c r="C33" s="10"/>
      <c r="D33" s="10"/>
      <c r="E33" s="10"/>
      <c r="F33" s="10"/>
      <c r="G33" s="10"/>
      <c r="H33" s="11"/>
    </row>
    <row r="34" spans="2:8" x14ac:dyDescent="0.25">
      <c r="B34" s="9"/>
      <c r="C34" s="10"/>
      <c r="D34" s="10"/>
      <c r="E34" s="10"/>
      <c r="F34" s="10"/>
      <c r="G34" s="10"/>
      <c r="H34" s="11"/>
    </row>
    <row r="35" spans="2:8" x14ac:dyDescent="0.25">
      <c r="B35" s="9"/>
      <c r="C35" s="10"/>
      <c r="D35" s="10"/>
      <c r="E35" s="10"/>
      <c r="F35" s="10"/>
      <c r="G35" s="10"/>
      <c r="H35" s="11"/>
    </row>
    <row r="36" spans="2:8" x14ac:dyDescent="0.25">
      <c r="B36" s="9"/>
      <c r="C36" s="10"/>
      <c r="D36" s="10"/>
      <c r="E36" s="10"/>
      <c r="F36" s="10"/>
      <c r="G36" s="10"/>
      <c r="H36" s="11"/>
    </row>
    <row r="37" spans="2:8" x14ac:dyDescent="0.25">
      <c r="B37" s="9"/>
      <c r="C37" s="10"/>
      <c r="D37" s="10"/>
      <c r="E37" s="10"/>
      <c r="F37" s="10"/>
      <c r="G37" s="10"/>
      <c r="H37" s="11"/>
    </row>
    <row r="38" spans="2:8" x14ac:dyDescent="0.25">
      <c r="B38" s="9"/>
      <c r="C38" s="10"/>
      <c r="D38" s="10"/>
      <c r="E38" s="10"/>
      <c r="F38" s="10"/>
      <c r="G38" s="10"/>
      <c r="H38" s="11"/>
    </row>
    <row r="39" spans="2:8" x14ac:dyDescent="0.25">
      <c r="B39" s="9"/>
      <c r="C39" s="10"/>
      <c r="D39" s="10"/>
      <c r="E39" s="10"/>
      <c r="F39" s="10"/>
      <c r="G39" s="10"/>
      <c r="H39" s="11"/>
    </row>
    <row r="40" spans="2:8" x14ac:dyDescent="0.25">
      <c r="B40" s="9"/>
      <c r="C40" s="10"/>
      <c r="D40" s="10"/>
      <c r="E40" s="10"/>
      <c r="F40" s="10"/>
      <c r="G40" s="10"/>
      <c r="H40" s="11"/>
    </row>
    <row r="41" spans="2:8" x14ac:dyDescent="0.25">
      <c r="B41" s="9"/>
      <c r="C41" s="10"/>
      <c r="D41" s="10"/>
      <c r="E41" s="10"/>
      <c r="F41" s="10"/>
      <c r="G41" s="10"/>
      <c r="H41" s="11"/>
    </row>
    <row r="42" spans="2:8" x14ac:dyDescent="0.25">
      <c r="B42" s="9"/>
      <c r="C42" s="10"/>
      <c r="D42" s="10"/>
      <c r="E42" s="10"/>
      <c r="F42" s="10"/>
      <c r="G42" s="10"/>
      <c r="H42" s="11"/>
    </row>
    <row r="43" spans="2:8" x14ac:dyDescent="0.25">
      <c r="B43" s="9"/>
      <c r="C43" s="10"/>
      <c r="D43" s="10"/>
      <c r="E43" s="10"/>
      <c r="F43" s="10"/>
      <c r="G43" s="10"/>
      <c r="H43" s="11"/>
    </row>
    <row r="44" spans="2:8" x14ac:dyDescent="0.25">
      <c r="B44" s="9"/>
      <c r="C44" s="10"/>
      <c r="D44" s="10"/>
      <c r="E44" s="10"/>
      <c r="F44" s="10"/>
      <c r="G44" s="10"/>
      <c r="H44" s="11"/>
    </row>
    <row r="45" spans="2:8" x14ac:dyDescent="0.25">
      <c r="B45" s="9"/>
      <c r="C45" s="10"/>
      <c r="D45" s="10"/>
      <c r="E45" s="10"/>
      <c r="F45" s="10"/>
      <c r="G45" s="10"/>
      <c r="H45" s="11"/>
    </row>
    <row r="46" spans="2:8" x14ac:dyDescent="0.25">
      <c r="B46" s="9"/>
      <c r="C46" s="10"/>
      <c r="D46" s="10"/>
      <c r="E46" s="10"/>
      <c r="F46" s="10"/>
      <c r="G46" s="10"/>
      <c r="H46" s="11"/>
    </row>
    <row r="47" spans="2:8" x14ac:dyDescent="0.25">
      <c r="B47" s="9"/>
      <c r="C47" s="10"/>
      <c r="D47" s="10"/>
      <c r="E47" s="10"/>
      <c r="F47" s="10"/>
      <c r="G47" s="10"/>
      <c r="H47" s="11"/>
    </row>
    <row r="48" spans="2:8" x14ac:dyDescent="0.25">
      <c r="B48" s="9"/>
      <c r="C48" s="10"/>
      <c r="D48" s="10"/>
      <c r="E48" s="10"/>
      <c r="F48" s="10"/>
      <c r="G48" s="10"/>
      <c r="H48" s="11"/>
    </row>
    <row r="49" spans="2:8" x14ac:dyDescent="0.25">
      <c r="B49" s="9"/>
      <c r="C49" s="10"/>
      <c r="D49" s="10"/>
      <c r="E49" s="10"/>
      <c r="F49" s="10"/>
      <c r="G49" s="10"/>
      <c r="H49" s="11"/>
    </row>
    <row r="50" spans="2:8" x14ac:dyDescent="0.25">
      <c r="B50" s="9"/>
      <c r="C50" s="10"/>
      <c r="D50" s="10"/>
      <c r="E50" s="10"/>
      <c r="F50" s="10"/>
      <c r="G50" s="10"/>
      <c r="H50" s="11"/>
    </row>
    <row r="51" spans="2:8" x14ac:dyDescent="0.25">
      <c r="B51" s="9"/>
      <c r="C51" s="10"/>
      <c r="D51" s="10"/>
      <c r="E51" s="10"/>
      <c r="F51" s="10"/>
      <c r="G51" s="10"/>
      <c r="H51" s="11"/>
    </row>
    <row r="52" spans="2:8" x14ac:dyDescent="0.25">
      <c r="B52" s="9"/>
      <c r="C52" s="10"/>
      <c r="D52" s="10"/>
      <c r="E52" s="10"/>
      <c r="F52" s="10"/>
      <c r="G52" s="10"/>
      <c r="H52" s="11"/>
    </row>
    <row r="53" spans="2:8" x14ac:dyDescent="0.25">
      <c r="B53" s="9"/>
      <c r="C53" s="10"/>
      <c r="D53" s="10"/>
      <c r="E53" s="10"/>
      <c r="F53" s="10"/>
      <c r="G53" s="10"/>
      <c r="H53" s="11"/>
    </row>
    <row r="54" spans="2:8" ht="15.75" thickBot="1" x14ac:dyDescent="0.3">
      <c r="B54" s="12"/>
      <c r="C54" s="13"/>
      <c r="D54" s="13"/>
      <c r="E54" s="13"/>
      <c r="F54" s="13"/>
      <c r="G54" s="13"/>
      <c r="H54" s="14"/>
    </row>
  </sheetData>
  <mergeCells count="4">
    <mergeCell ref="C7:G9"/>
    <mergeCell ref="C6:G6"/>
    <mergeCell ref="F10:G10"/>
    <mergeCell ref="C12:G12"/>
  </mergeCells>
  <pageMargins left="0.7" right="0.7" top="0.75" bottom="0.75" header="0.3" footer="0.3"/>
  <pageSetup paperSize="9" scale="95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8A0CF-4C69-4669-8E37-F3E41DA53F97}">
  <sheetPr codeName="Sheet10">
    <pageSetUpPr fitToPage="1"/>
  </sheetPr>
  <dimension ref="B1:H56"/>
  <sheetViews>
    <sheetView tabSelected="1" workbookViewId="0">
      <selection activeCell="H11" sqref="H11"/>
    </sheetView>
  </sheetViews>
  <sheetFormatPr defaultRowHeight="15" x14ac:dyDescent="0.25"/>
  <cols>
    <col min="1" max="1" width="1.42578125" customWidth="1"/>
    <col min="2" max="3" width="14.5703125" customWidth="1"/>
    <col min="4" max="4" width="20.85546875" customWidth="1"/>
    <col min="5" max="5" width="12.7109375" customWidth="1"/>
    <col min="6" max="8" width="14.5703125" customWidth="1"/>
    <col min="9" max="9" width="1.42578125" customWidth="1"/>
  </cols>
  <sheetData>
    <row r="1" spans="2:8" ht="7.5" customHeight="1" thickBot="1" x14ac:dyDescent="0.3"/>
    <row r="2" spans="2:8" x14ac:dyDescent="0.25">
      <c r="B2" s="40" t="s">
        <v>67</v>
      </c>
      <c r="C2" s="42" t="str">
        <f>Setup_AssetName</f>
        <v>Single-Tiered Choc Sponge</v>
      </c>
      <c r="D2" s="42"/>
      <c r="E2" s="42"/>
      <c r="F2" s="41" t="s">
        <v>68</v>
      </c>
      <c r="G2" s="42" t="str">
        <f>Setup_AssetAuthor</f>
        <v>Silky Bloggs</v>
      </c>
      <c r="H2" s="43"/>
    </row>
    <row r="3" spans="2:8" ht="15.75" thickBot="1" x14ac:dyDescent="0.3">
      <c r="B3" s="45"/>
      <c r="C3" s="46"/>
      <c r="D3" s="46"/>
      <c r="E3" s="46"/>
      <c r="F3" s="47" t="s">
        <v>69</v>
      </c>
      <c r="G3" s="48" t="str">
        <f>Setup_AssetSeries</f>
        <v>Silky's Homely Bakes</v>
      </c>
      <c r="H3" s="49"/>
    </row>
    <row r="4" spans="2:8" ht="15.75" thickBot="1" x14ac:dyDescent="0.3">
      <c r="B4" s="16" t="str" cm="1">
        <f t="array" ref="B4">"Tier Information - " &amp; "Tier " &amp; CTierNum &amp; " - " &amp; Setup_TierName</f>
        <v>Tier Information - Tier 1 - Choc Cream Sponge</v>
      </c>
      <c r="C4" s="17"/>
      <c r="D4" s="17"/>
      <c r="E4" s="17"/>
      <c r="F4" s="17"/>
      <c r="G4" s="17"/>
      <c r="H4" s="18"/>
    </row>
    <row r="5" spans="2:8" x14ac:dyDescent="0.25">
      <c r="B5" s="9"/>
      <c r="C5" s="10"/>
      <c r="D5" s="10"/>
      <c r="E5" s="10"/>
      <c r="F5" s="10"/>
      <c r="G5" s="10"/>
      <c r="H5" s="11"/>
    </row>
    <row r="6" spans="2:8" x14ac:dyDescent="0.25">
      <c r="B6" s="9"/>
      <c r="C6" s="10"/>
      <c r="D6" s="10"/>
      <c r="E6" s="10"/>
      <c r="F6" s="10"/>
      <c r="G6" s="10"/>
      <c r="H6" s="11"/>
    </row>
    <row r="7" spans="2:8" x14ac:dyDescent="0.25">
      <c r="B7" s="53" t="s">
        <v>62</v>
      </c>
      <c r="C7" s="10" t="s">
        <v>7</v>
      </c>
      <c r="D7" s="50" t="str">
        <f>CTier</f>
        <v>T-CCS</v>
      </c>
      <c r="E7" s="10"/>
      <c r="F7" s="10"/>
      <c r="G7" s="10"/>
      <c r="H7" s="11"/>
    </row>
    <row r="8" spans="2:8" x14ac:dyDescent="0.25">
      <c r="B8" s="54"/>
      <c r="C8" s="10" t="s">
        <v>8</v>
      </c>
      <c r="D8" s="50" t="str" cm="1">
        <f t="array" ref="D8">rangeLookup($C8, CTier, LookupTiers)</f>
        <v>Choc Cream Sponge</v>
      </c>
      <c r="E8" s="10"/>
      <c r="F8" s="10"/>
      <c r="G8" s="10"/>
      <c r="H8" s="11"/>
    </row>
    <row r="9" spans="2:8" x14ac:dyDescent="0.25">
      <c r="B9" s="54"/>
      <c r="C9" s="10" t="s">
        <v>9</v>
      </c>
      <c r="D9" s="50" t="str" cm="1">
        <f t="array" ref="D9">rangeLookup($C9, CTier, LookupTiers)</f>
        <v>Circular</v>
      </c>
      <c r="E9" s="10"/>
      <c r="F9" s="10"/>
      <c r="G9" s="10"/>
      <c r="H9" s="11"/>
    </row>
    <row r="10" spans="2:8" x14ac:dyDescent="0.25">
      <c r="B10" s="54"/>
      <c r="C10" s="32" t="s">
        <v>12</v>
      </c>
      <c r="D10" s="50" cm="1">
        <f t="array" ref="D10">rangeLookup($C10, CTier, LookupTiers)</f>
        <v>42</v>
      </c>
      <c r="E10" s="10"/>
      <c r="F10" s="10"/>
      <c r="G10" s="10"/>
      <c r="H10" s="11"/>
    </row>
    <row r="11" spans="2:8" x14ac:dyDescent="0.25">
      <c r="B11" s="9"/>
      <c r="C11" s="10"/>
      <c r="D11" s="10"/>
      <c r="E11" s="10"/>
      <c r="F11" s="10"/>
      <c r="G11" s="10"/>
      <c r="H11" s="11"/>
    </row>
    <row r="12" spans="2:8" x14ac:dyDescent="0.25">
      <c r="B12" s="9"/>
      <c r="C12" s="10"/>
      <c r="D12" s="10"/>
      <c r="E12" s="10"/>
      <c r="F12" s="10"/>
      <c r="G12" s="10"/>
      <c r="H12" s="11"/>
    </row>
    <row r="13" spans="2:8" x14ac:dyDescent="0.25">
      <c r="B13" s="9"/>
      <c r="C13" s="10"/>
      <c r="D13" s="10"/>
      <c r="E13" s="10"/>
      <c r="F13" s="10"/>
      <c r="G13" s="10"/>
      <c r="H13" s="11"/>
    </row>
    <row r="14" spans="2:8" x14ac:dyDescent="0.25">
      <c r="B14" s="9"/>
      <c r="C14" s="10"/>
      <c r="D14" s="10"/>
      <c r="E14" s="10"/>
      <c r="F14" s="10"/>
      <c r="G14" s="10"/>
      <c r="H14" s="11"/>
    </row>
    <row r="15" spans="2:8" x14ac:dyDescent="0.25">
      <c r="B15" s="9"/>
      <c r="C15" s="10"/>
      <c r="D15" s="10"/>
      <c r="E15" s="10"/>
      <c r="F15" s="10"/>
      <c r="G15" s="10"/>
      <c r="H15" s="11"/>
    </row>
    <row r="16" spans="2:8" x14ac:dyDescent="0.25">
      <c r="B16" s="9"/>
      <c r="C16" s="10"/>
      <c r="D16" s="10"/>
      <c r="E16" s="10"/>
      <c r="F16" s="10"/>
      <c r="G16" s="10"/>
      <c r="H16" s="11"/>
    </row>
    <row r="17" spans="2:8" x14ac:dyDescent="0.25">
      <c r="B17" s="9"/>
      <c r="C17" s="10"/>
      <c r="D17" s="10"/>
      <c r="E17" s="10"/>
      <c r="F17" s="10"/>
      <c r="G17" s="10"/>
      <c r="H17" s="11"/>
    </row>
    <row r="18" spans="2:8" x14ac:dyDescent="0.25">
      <c r="B18" s="9"/>
      <c r="C18" s="10"/>
      <c r="D18" s="10"/>
      <c r="E18" s="10"/>
      <c r="F18" s="10"/>
      <c r="G18" s="10"/>
      <c r="H18" s="11"/>
    </row>
    <row r="19" spans="2:8" x14ac:dyDescent="0.25">
      <c r="B19" s="9"/>
      <c r="C19" s="10"/>
      <c r="D19" s="10"/>
      <c r="E19" s="10"/>
      <c r="F19" s="10"/>
      <c r="G19" s="10"/>
      <c r="H19" s="11"/>
    </row>
    <row r="20" spans="2:8" x14ac:dyDescent="0.25">
      <c r="B20" s="9"/>
      <c r="C20" s="10"/>
      <c r="D20" s="10"/>
      <c r="E20" s="10"/>
      <c r="F20" s="10"/>
      <c r="G20" s="10"/>
      <c r="H20" s="11"/>
    </row>
    <row r="21" spans="2:8" x14ac:dyDescent="0.25">
      <c r="B21" s="9"/>
      <c r="C21" s="10"/>
      <c r="D21" s="10"/>
      <c r="E21" s="10"/>
      <c r="F21" s="10"/>
      <c r="G21" s="10"/>
      <c r="H21" s="11"/>
    </row>
    <row r="22" spans="2:8" x14ac:dyDescent="0.25">
      <c r="B22" s="9"/>
      <c r="C22" s="10"/>
      <c r="D22" s="10"/>
      <c r="E22" s="10"/>
      <c r="F22" s="10"/>
      <c r="G22" s="10"/>
      <c r="H22" s="11"/>
    </row>
    <row r="23" spans="2:8" x14ac:dyDescent="0.25">
      <c r="B23" s="9"/>
      <c r="C23" s="10"/>
      <c r="D23" s="10"/>
      <c r="E23" s="10"/>
      <c r="F23" s="10"/>
      <c r="G23" s="10"/>
      <c r="H23" s="11"/>
    </row>
    <row r="24" spans="2:8" x14ac:dyDescent="0.25">
      <c r="B24" s="9"/>
      <c r="C24" s="10"/>
      <c r="D24" s="10"/>
      <c r="E24" s="10"/>
      <c r="F24" s="10"/>
      <c r="G24" s="10"/>
      <c r="H24" s="11"/>
    </row>
    <row r="25" spans="2:8" x14ac:dyDescent="0.25">
      <c r="B25" s="9"/>
      <c r="C25" s="10"/>
      <c r="D25" s="10"/>
      <c r="E25" s="10"/>
      <c r="F25" s="10"/>
      <c r="G25" s="10"/>
      <c r="H25" s="11"/>
    </row>
    <row r="26" spans="2:8" x14ac:dyDescent="0.25">
      <c r="B26" s="9"/>
      <c r="C26" s="10"/>
      <c r="D26" s="10"/>
      <c r="E26" s="10"/>
      <c r="F26" s="10"/>
      <c r="G26" s="10"/>
      <c r="H26" s="11"/>
    </row>
    <row r="27" spans="2:8" x14ac:dyDescent="0.25">
      <c r="B27" s="9"/>
      <c r="C27" s="10"/>
      <c r="D27" s="10"/>
      <c r="E27" s="10"/>
      <c r="F27" s="10"/>
      <c r="G27" s="10"/>
      <c r="H27" s="11"/>
    </row>
    <row r="28" spans="2:8" x14ac:dyDescent="0.25">
      <c r="B28" s="9"/>
      <c r="C28" s="10"/>
      <c r="D28" s="10"/>
      <c r="E28" s="10"/>
      <c r="F28" s="10"/>
      <c r="G28" s="10"/>
      <c r="H28" s="11"/>
    </row>
    <row r="29" spans="2:8" x14ac:dyDescent="0.25">
      <c r="B29" s="9"/>
      <c r="C29" s="10"/>
      <c r="D29" s="10"/>
      <c r="E29" s="10"/>
      <c r="F29" s="10"/>
      <c r="G29" s="10"/>
      <c r="H29" s="11"/>
    </row>
    <row r="30" spans="2:8" x14ac:dyDescent="0.25">
      <c r="B30" s="9"/>
      <c r="C30" s="10"/>
      <c r="D30" s="10"/>
      <c r="E30" s="10"/>
      <c r="F30" s="10"/>
      <c r="G30" s="10"/>
      <c r="H30" s="11"/>
    </row>
    <row r="31" spans="2:8" x14ac:dyDescent="0.25">
      <c r="B31" s="9"/>
      <c r="C31" s="10"/>
      <c r="D31" s="10"/>
      <c r="E31" s="10"/>
      <c r="F31" s="10"/>
      <c r="G31" s="10"/>
      <c r="H31" s="11"/>
    </row>
    <row r="32" spans="2:8" x14ac:dyDescent="0.25">
      <c r="B32" s="9"/>
      <c r="C32" s="10"/>
      <c r="D32" s="10"/>
      <c r="E32" s="10"/>
      <c r="F32" s="10"/>
      <c r="G32" s="10"/>
      <c r="H32" s="11"/>
    </row>
    <row r="33" spans="2:8" x14ac:dyDescent="0.25">
      <c r="B33" s="9"/>
      <c r="C33" s="10"/>
      <c r="D33" s="10"/>
      <c r="E33" s="10"/>
      <c r="F33" s="10"/>
      <c r="G33" s="10"/>
      <c r="H33" s="11"/>
    </row>
    <row r="34" spans="2:8" x14ac:dyDescent="0.25">
      <c r="B34" s="9"/>
      <c r="C34" s="10"/>
      <c r="D34" s="10"/>
      <c r="E34" s="10"/>
      <c r="F34" s="10"/>
      <c r="G34" s="10"/>
      <c r="H34" s="11"/>
    </row>
    <row r="35" spans="2:8" x14ac:dyDescent="0.25">
      <c r="B35" s="9"/>
      <c r="C35" s="10"/>
      <c r="D35" s="10"/>
      <c r="E35" s="10"/>
      <c r="F35" s="10"/>
      <c r="G35" s="10"/>
      <c r="H35" s="11"/>
    </row>
    <row r="36" spans="2:8" x14ac:dyDescent="0.25">
      <c r="B36" s="9"/>
      <c r="C36" s="10"/>
      <c r="D36" s="10"/>
      <c r="E36" s="10"/>
      <c r="F36" s="10"/>
      <c r="G36" s="10"/>
      <c r="H36" s="11"/>
    </row>
    <row r="37" spans="2:8" x14ac:dyDescent="0.25">
      <c r="B37" s="9"/>
      <c r="C37" s="10"/>
      <c r="D37" s="10"/>
      <c r="E37" s="10"/>
      <c r="F37" s="10"/>
      <c r="G37" s="10"/>
      <c r="H37" s="11"/>
    </row>
    <row r="38" spans="2:8" x14ac:dyDescent="0.25">
      <c r="B38" s="9"/>
      <c r="C38" s="10"/>
      <c r="D38" s="10"/>
      <c r="E38" s="10"/>
      <c r="F38" s="10"/>
      <c r="G38" s="10"/>
      <c r="H38" s="11"/>
    </row>
    <row r="39" spans="2:8" x14ac:dyDescent="0.25">
      <c r="B39" s="9"/>
      <c r="C39" s="10"/>
      <c r="D39" s="10"/>
      <c r="E39" s="10"/>
      <c r="F39" s="10"/>
      <c r="G39" s="10"/>
      <c r="H39" s="11"/>
    </row>
    <row r="40" spans="2:8" x14ac:dyDescent="0.25">
      <c r="B40" s="9"/>
      <c r="C40" s="10"/>
      <c r="D40" s="10"/>
      <c r="E40" s="10"/>
      <c r="F40" s="10"/>
      <c r="G40" s="10"/>
      <c r="H40" s="11"/>
    </row>
    <row r="41" spans="2:8" x14ac:dyDescent="0.25">
      <c r="B41" s="9"/>
      <c r="C41" s="10"/>
      <c r="D41" s="10"/>
      <c r="E41" s="10"/>
      <c r="F41" s="10"/>
      <c r="G41" s="10"/>
      <c r="H41" s="11"/>
    </row>
    <row r="42" spans="2:8" x14ac:dyDescent="0.25">
      <c r="B42" s="9"/>
      <c r="C42" s="10"/>
      <c r="D42" s="10"/>
      <c r="E42" s="10"/>
      <c r="F42" s="10"/>
      <c r="G42" s="10"/>
      <c r="H42" s="11"/>
    </row>
    <row r="43" spans="2:8" x14ac:dyDescent="0.25">
      <c r="B43" s="9"/>
      <c r="C43" s="10"/>
      <c r="D43" s="10"/>
      <c r="E43" s="10"/>
      <c r="F43" s="10"/>
      <c r="G43" s="10"/>
      <c r="H43" s="11"/>
    </row>
    <row r="44" spans="2:8" x14ac:dyDescent="0.25">
      <c r="B44" s="9"/>
      <c r="C44" s="10"/>
      <c r="D44" s="10"/>
      <c r="E44" s="10"/>
      <c r="F44" s="10"/>
      <c r="G44" s="10"/>
      <c r="H44" s="11"/>
    </row>
    <row r="45" spans="2:8" x14ac:dyDescent="0.25">
      <c r="B45" s="9"/>
      <c r="C45" s="10"/>
      <c r="D45" s="10"/>
      <c r="E45" s="10"/>
      <c r="F45" s="10"/>
      <c r="G45" s="10"/>
      <c r="H45" s="11"/>
    </row>
    <row r="46" spans="2:8" x14ac:dyDescent="0.25">
      <c r="B46" s="9"/>
      <c r="C46" s="10"/>
      <c r="D46" s="10"/>
      <c r="E46" s="10"/>
      <c r="F46" s="10"/>
      <c r="G46" s="10"/>
      <c r="H46" s="11"/>
    </row>
    <row r="47" spans="2:8" x14ac:dyDescent="0.25">
      <c r="B47" s="9"/>
      <c r="C47" s="10"/>
      <c r="D47" s="10"/>
      <c r="E47" s="10"/>
      <c r="F47" s="10"/>
      <c r="G47" s="10"/>
      <c r="H47" s="11"/>
    </row>
    <row r="48" spans="2:8" x14ac:dyDescent="0.25">
      <c r="B48" s="9"/>
      <c r="C48" s="10"/>
      <c r="D48" s="10"/>
      <c r="E48" s="10"/>
      <c r="F48" s="10"/>
      <c r="G48" s="10"/>
      <c r="H48" s="11"/>
    </row>
    <row r="49" spans="2:8" x14ac:dyDescent="0.25">
      <c r="B49" s="9"/>
      <c r="C49" s="10"/>
      <c r="D49" s="10"/>
      <c r="E49" s="10"/>
      <c r="F49" s="10"/>
      <c r="G49" s="10"/>
      <c r="H49" s="11"/>
    </row>
    <row r="50" spans="2:8" x14ac:dyDescent="0.25">
      <c r="B50" s="9"/>
      <c r="C50" s="10"/>
      <c r="D50" s="10"/>
      <c r="E50" s="10"/>
      <c r="F50" s="10"/>
      <c r="G50" s="10"/>
      <c r="H50" s="11"/>
    </row>
    <row r="51" spans="2:8" x14ac:dyDescent="0.25">
      <c r="B51" s="9"/>
      <c r="C51" s="10"/>
      <c r="D51" s="10"/>
      <c r="E51" s="10"/>
      <c r="F51" s="10"/>
      <c r="G51" s="10"/>
      <c r="H51" s="11"/>
    </row>
    <row r="52" spans="2:8" x14ac:dyDescent="0.25">
      <c r="B52" s="9"/>
      <c r="C52" s="10"/>
      <c r="D52" s="10"/>
      <c r="E52" s="10"/>
      <c r="F52" s="10"/>
      <c r="G52" s="10"/>
      <c r="H52" s="11"/>
    </row>
    <row r="53" spans="2:8" x14ac:dyDescent="0.25">
      <c r="B53" s="9"/>
      <c r="C53" s="10"/>
      <c r="D53" s="10"/>
      <c r="E53" s="10"/>
      <c r="F53" s="10"/>
      <c r="G53" s="10"/>
      <c r="H53" s="11"/>
    </row>
    <row r="54" spans="2:8" x14ac:dyDescent="0.25">
      <c r="B54" s="9"/>
      <c r="C54" s="10"/>
      <c r="D54" s="10"/>
      <c r="E54" s="10"/>
      <c r="F54" s="10"/>
      <c r="G54" s="10"/>
      <c r="H54" s="11"/>
    </row>
    <row r="55" spans="2:8" ht="15.75" thickBot="1" x14ac:dyDescent="0.3">
      <c r="B55" s="12"/>
      <c r="C55" s="13"/>
      <c r="D55" s="13"/>
      <c r="E55" s="13"/>
      <c r="F55" s="13"/>
      <c r="G55" s="13"/>
      <c r="H55" s="14"/>
    </row>
    <row r="56" spans="2:8" ht="7.5" customHeight="1" x14ac:dyDescent="0.25"/>
  </sheetData>
  <mergeCells count="5">
    <mergeCell ref="C2:E2"/>
    <mergeCell ref="B4:H4"/>
    <mergeCell ref="G2:H2"/>
    <mergeCell ref="G3:H3"/>
    <mergeCell ref="B7:B10"/>
  </mergeCells>
  <pageMargins left="0.7" right="0.7" top="0.75" bottom="0.75" header="0.3" footer="0.3"/>
  <pageSetup paperSize="9" scale="82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Ingredients</vt:lpstr>
      <vt:lpstr>Equipment</vt:lpstr>
      <vt:lpstr>Processes</vt:lpstr>
      <vt:lpstr>Layers</vt:lpstr>
      <vt:lpstr>Toppings</vt:lpstr>
      <vt:lpstr>Tiers</vt:lpstr>
      <vt:lpstr>Assets</vt:lpstr>
      <vt:lpstr>Books</vt:lpstr>
      <vt:lpstr>Setup</vt:lpstr>
      <vt:lpstr>Cover</vt:lpstr>
      <vt:lpstr>Tier</vt:lpstr>
      <vt:lpstr>CFileName</vt:lpstr>
      <vt:lpstr>CID</vt:lpstr>
      <vt:lpstr>CTier</vt:lpstr>
      <vt:lpstr>CTierNum</vt:lpstr>
      <vt:lpstr>LookupAssets</vt:lpstr>
      <vt:lpstr>LookupEquipment</vt:lpstr>
      <vt:lpstr>LookupIngredients</vt:lpstr>
      <vt:lpstr>LookupLayers</vt:lpstr>
      <vt:lpstr>LookupProcesses</vt:lpstr>
      <vt:lpstr>LookupTiers</vt:lpstr>
      <vt:lpstr>LookupToppings</vt:lpstr>
      <vt:lpstr>Cover!Print_Area</vt:lpstr>
      <vt:lpstr>Tier!Print_Area</vt:lpstr>
      <vt:lpstr>Setup_AssetAuthor</vt:lpstr>
      <vt:lpstr>Setup_AssetName</vt:lpstr>
      <vt:lpstr>Setup_AssetSeries</vt:lpstr>
      <vt:lpstr>Setup_TierName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Sisby</dc:creator>
  <cp:lastModifiedBy>Pseudo Nym</cp:lastModifiedBy>
  <cp:lastPrinted>2022-07-01T06:28:24Z</cp:lastPrinted>
  <dcterms:created xsi:type="dcterms:W3CDTF">2021-10-12T09:43:24Z</dcterms:created>
  <dcterms:modified xsi:type="dcterms:W3CDTF">2022-07-01T06:38:17Z</dcterms:modified>
</cp:coreProperties>
</file>